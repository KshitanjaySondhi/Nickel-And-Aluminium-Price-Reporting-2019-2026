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e783d7c8d1eb699/Documents/"/>
    </mc:Choice>
  </mc:AlternateContent>
  <xr:revisionPtr revIDLastSave="4" documentId="8_{40C5ADF3-A6F3-40A0-81AB-9406264A693C}" xr6:coauthVersionLast="47" xr6:coauthVersionMax="47" xr10:uidLastSave="{B62D9268-4CEF-422D-8171-942174C5D5BC}"/>
  <bookViews>
    <workbookView xWindow="-108" yWindow="-108" windowWidth="23256" windowHeight="12456" tabRatio="500" xr2:uid="{00000000-000D-0000-FFFF-FFFF00000000}"/>
  </bookViews>
  <sheets>
    <sheet name="World Nickel Production" sheetId="1" r:id="rId1"/>
    <sheet name="LME Nickel Settlement" sheetId="2" r:id="rId2"/>
    <sheet name="LME Aluminium &amp; MW Premium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1" i="3" l="1"/>
  <c r="G31" i="3"/>
  <c r="F31" i="3"/>
  <c r="E31" i="3"/>
  <c r="D31" i="3"/>
  <c r="C31" i="3"/>
  <c r="B31" i="3"/>
  <c r="I16" i="3"/>
  <c r="H16" i="3"/>
  <c r="G16" i="3"/>
  <c r="F16" i="3"/>
  <c r="E16" i="3"/>
  <c r="D16" i="3"/>
  <c r="C16" i="3"/>
  <c r="B16" i="3"/>
  <c r="I16" i="2"/>
  <c r="H16" i="2"/>
  <c r="G16" i="2"/>
  <c r="F16" i="2"/>
  <c r="E16" i="2"/>
  <c r="D16" i="2"/>
  <c r="C16" i="2"/>
  <c r="B16" i="2"/>
</calcChain>
</file>

<file path=xl/sharedStrings.xml><?xml version="1.0" encoding="utf-8"?>
<sst xmlns="http://schemas.openxmlformats.org/spreadsheetml/2006/main" count="108" uniqueCount="51">
  <si>
    <t>Source: USGS Mineral Commodity Summaries 2020, 2022, 2024, 2026  |  Units: Metric Tonnes (mine production, nickel content)  |  e = estimated</t>
  </si>
  <si>
    <t>Country</t>
  </si>
  <si>
    <t>2019</t>
  </si>
  <si>
    <t>2020</t>
  </si>
  <si>
    <t>2021</t>
  </si>
  <si>
    <t>2022</t>
  </si>
  <si>
    <t>2023</t>
  </si>
  <si>
    <t>2024</t>
  </si>
  <si>
    <t>2025e</t>
  </si>
  <si>
    <t>Reserves</t>
  </si>
  <si>
    <t>Notes</t>
  </si>
  <si>
    <t>United States</t>
  </si>
  <si>
    <t>Australia</t>
  </si>
  <si>
    <t>Brazil</t>
  </si>
  <si>
    <t>Canada</t>
  </si>
  <si>
    <t>China</t>
  </si>
  <si>
    <t>e</t>
  </si>
  <si>
    <t>Indonesia</t>
  </si>
  <si>
    <t>New Caledonia</t>
  </si>
  <si>
    <t>Philippines</t>
  </si>
  <si>
    <t>Russia</t>
  </si>
  <si>
    <t>Other countries</t>
  </si>
  <si>
    <t>&gt;</t>
  </si>
  <si>
    <t>World Total</t>
  </si>
  <si>
    <t>rounded</t>
  </si>
  <si>
    <t>Indonesian Share of World Output (%)</t>
  </si>
  <si>
    <t>Indonesia %</t>
  </si>
  <si>
    <t>Source: London Metal Exchange Official Data  |  Units: USD per Metric Tonne  |  Monthly average of daily cash-settlement prices</t>
  </si>
  <si>
    <t>Month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</si>
  <si>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</si>
  <si>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</si>
  <si>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</si>
  <si>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</si>
  <si>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</si>
  <si>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</si>
  <si>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</si>
  <si>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</si>
  <si>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</si>
  <si>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</si>
  <si>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</si>
  <si>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</si>
  <si>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</si>
  <si>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</si>
  <si>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Avg</t>
  </si>
  <si>
    <t>Note: March 2022 monthly avg = $31,861/t (highlighted).  Intraday peak on 8 Mar 2022 = $101,365/t.  LME cancelled $12 billion in trades.  Annual averages exclude months with no data (2019 starts Apr; 2026 through May only).</t>
  </si>
  <si>
    <t>US Midwest Premium ($/t)</t>
  </si>
  <si>
    <t>Highlighted cells: MW Premium peak $877.90/t (Apr 2022, ~$0.40/lb) and tariff-driven peak $1,793.99/t (Oct 2025, ~$0.81/lb).  All-In US price Oct 2025 = LME $2,786 + MW $1,794 = $4,580/t.</t>
  </si>
  <si>
    <t>LME Aluminium Cash-Settlement &amp; US Midwest Premium - Monthly Average ($/t)</t>
  </si>
  <si>
    <t>Source: LME Official Data (Aluminium); Investing.com - Aluminium Premium Duty Paid US Midwest (MW Premium)  |  Units: USD/t  |  All-In = LME + MW Premium</t>
  </si>
  <si>
    <t>LME Nickel Cash-Settlement Price - Monthly Average ($/t)</t>
  </si>
  <si>
    <t>World Nickel Mine Production by Country (2019–2025)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</si>
</sst>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\$#,##0.00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1A1A2E"/>
      <name val="Arial"/>
      <family val="2"/>
    </font>
    <font>
      <b/>
      <sz val="10"/>
      <color rgb="FFCC0000"/>
      <name val="Arial"/>
      <family val="2"/>
    </font>
    <font>
      <i/>
      <sz val="8.5"/>
      <color rgb="FF555555"/>
      <name val="Arial"/>
      <family val="2"/>
    </font>
    <font>
      <b/>
      <sz val="10"/>
      <color rgb="FF8B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rgb="FFD6D6D6"/>
        <bgColor rgb="FFCCCCCC"/>
      </patternFill>
    </fill>
    <fill>
      <patternFill patternType="solid">
        <fgColor rgb="FFFFE0E0"/>
        <bgColor rgb="FFF2F2F2"/>
      </patternFill>
    </fill>
    <fill>
      <patternFill patternType="solid">
        <fgColor rgb="FF8B1A1A"/>
        <bgColor rgb="FF8B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/>
    <xf numFmtId="0" fontId="4" fillId="5" borderId="1" xfId="0" applyFont="1" applyFill="1" applyBorder="1"/>
    <xf numFmtId="3" fontId="4" fillId="5" borderId="1" xfId="0" applyNumberFormat="1" applyFont="1" applyFill="1" applyBorder="1"/>
    <xf numFmtId="0" fontId="5" fillId="6" borderId="1" xfId="0" applyFont="1" applyFill="1" applyBorder="1"/>
    <xf numFmtId="3" fontId="5" fillId="6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164" fontId="6" fillId="5" borderId="1" xfId="0" applyNumberFormat="1" applyFont="1" applyFill="1" applyBorder="1"/>
    <xf numFmtId="165" fontId="4" fillId="5" borderId="1" xfId="0" applyNumberFormat="1" applyFont="1" applyFill="1" applyBorder="1"/>
    <xf numFmtId="165" fontId="4" fillId="3" borderId="1" xfId="0" applyNumberFormat="1" applyFont="1" applyFill="1" applyBorder="1"/>
    <xf numFmtId="165" fontId="7" fillId="7" borderId="1" xfId="0" applyNumberFormat="1" applyFont="1" applyFill="1" applyBorder="1"/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5" fontId="9" fillId="7" borderId="1" xfId="0" applyNumberFormat="1" applyFont="1" applyFill="1" applyBorder="1"/>
    <xf numFmtId="165" fontId="3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003366"/>
      <rgbColor rgb="FF339966"/>
      <rgbColor rgb="FF003300"/>
      <rgbColor rgb="FF333300"/>
      <rgbColor rgb="FF8B1A1A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ColWidth="8.6640625" defaultRowHeight="14.4" x14ac:dyDescent="0.3"/>
  <cols>
    <col min="1" max="1" width="20" customWidth="1"/>
    <col min="2" max="8" width="14" customWidth="1"/>
    <col min="9" max="9" width="16" customWidth="1"/>
    <col min="10" max="10" width="12" customWidth="1"/>
  </cols>
  <sheetData>
    <row r="1" spans="1:10" ht="27.75" customHeight="1" x14ac:dyDescent="0.3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21.75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x14ac:dyDescent="0.3">
      <c r="A4" s="6" t="s">
        <v>11</v>
      </c>
      <c r="B4" s="7">
        <v>13500</v>
      </c>
      <c r="C4" s="7">
        <v>16000</v>
      </c>
      <c r="D4" s="7">
        <v>18000</v>
      </c>
      <c r="E4" s="7">
        <v>17500</v>
      </c>
      <c r="F4" s="7">
        <v>17000</v>
      </c>
      <c r="G4" s="7">
        <v>7490</v>
      </c>
      <c r="H4" s="7">
        <v>10000</v>
      </c>
      <c r="I4" s="7">
        <v>340000</v>
      </c>
      <c r="J4" s="6"/>
    </row>
    <row r="5" spans="1:10" x14ac:dyDescent="0.3">
      <c r="A5" s="8" t="s">
        <v>12</v>
      </c>
      <c r="B5" s="9">
        <v>159000</v>
      </c>
      <c r="C5" s="9">
        <v>170000</v>
      </c>
      <c r="D5" s="9">
        <v>160000</v>
      </c>
      <c r="E5" s="9">
        <v>155000</v>
      </c>
      <c r="F5" s="9">
        <v>160000</v>
      </c>
      <c r="G5" s="9">
        <v>98000</v>
      </c>
      <c r="H5" s="9">
        <v>45000</v>
      </c>
      <c r="I5" s="9">
        <v>25000000</v>
      </c>
      <c r="J5" s="8"/>
    </row>
    <row r="6" spans="1:10" x14ac:dyDescent="0.3">
      <c r="A6" s="6" t="s">
        <v>13</v>
      </c>
      <c r="B6" s="7">
        <v>60600</v>
      </c>
      <c r="C6" s="7">
        <v>73000</v>
      </c>
      <c r="D6" s="7">
        <v>100000</v>
      </c>
      <c r="E6" s="7">
        <v>88500</v>
      </c>
      <c r="F6" s="7">
        <v>89000</v>
      </c>
      <c r="G6" s="7">
        <v>67500</v>
      </c>
      <c r="H6" s="7">
        <v>70000</v>
      </c>
      <c r="I6" s="7">
        <v>16000000</v>
      </c>
      <c r="J6" s="6"/>
    </row>
    <row r="7" spans="1:10" x14ac:dyDescent="0.3">
      <c r="A7" s="8" t="s">
        <v>14</v>
      </c>
      <c r="B7" s="9">
        <v>181000</v>
      </c>
      <c r="C7" s="9">
        <v>150000</v>
      </c>
      <c r="D7" s="9">
        <v>130000</v>
      </c>
      <c r="E7" s="9">
        <v>143000</v>
      </c>
      <c r="F7" s="9">
        <v>180000</v>
      </c>
      <c r="G7" s="9">
        <v>125000</v>
      </c>
      <c r="H7" s="9">
        <v>140000</v>
      </c>
      <c r="I7" s="9">
        <v>2200000</v>
      </c>
      <c r="J7" s="8"/>
    </row>
    <row r="8" spans="1:10" x14ac:dyDescent="0.3">
      <c r="A8" s="6" t="s">
        <v>15</v>
      </c>
      <c r="B8" s="7">
        <v>120000</v>
      </c>
      <c r="C8" s="7">
        <v>120000</v>
      </c>
      <c r="D8" s="7">
        <v>120000</v>
      </c>
      <c r="E8" s="7">
        <v>114000</v>
      </c>
      <c r="F8" s="7">
        <v>110000</v>
      </c>
      <c r="G8" s="7">
        <v>115000</v>
      </c>
      <c r="H8" s="7">
        <v>120000</v>
      </c>
      <c r="I8" s="7">
        <v>4400000</v>
      </c>
      <c r="J8" s="6" t="s">
        <v>16</v>
      </c>
    </row>
    <row r="9" spans="1:10" x14ac:dyDescent="0.3">
      <c r="A9" s="8" t="s">
        <v>17</v>
      </c>
      <c r="B9" s="9">
        <v>853000</v>
      </c>
      <c r="C9" s="9">
        <v>771000</v>
      </c>
      <c r="D9" s="9">
        <v>1000000</v>
      </c>
      <c r="E9" s="9">
        <v>1580000</v>
      </c>
      <c r="F9" s="9">
        <v>1800000</v>
      </c>
      <c r="G9" s="9">
        <v>2310000</v>
      </c>
      <c r="H9" s="9">
        <v>2600000</v>
      </c>
      <c r="I9" s="9">
        <v>62000000</v>
      </c>
      <c r="J9" s="8" t="s">
        <v>16</v>
      </c>
    </row>
    <row r="10" spans="1:10" x14ac:dyDescent="0.3">
      <c r="A10" s="6" t="s">
        <v>18</v>
      </c>
      <c r="B10" s="7">
        <v>208000</v>
      </c>
      <c r="C10" s="7">
        <v>200000</v>
      </c>
      <c r="D10" s="7">
        <v>190000</v>
      </c>
      <c r="E10" s="7">
        <v>200000</v>
      </c>
      <c r="F10" s="7">
        <v>230000</v>
      </c>
      <c r="G10" s="7">
        <v>116000</v>
      </c>
      <c r="H10" s="7">
        <v>140000</v>
      </c>
      <c r="I10" s="7">
        <v>7100000</v>
      </c>
      <c r="J10" s="6"/>
    </row>
    <row r="11" spans="1:10" x14ac:dyDescent="0.3">
      <c r="A11" s="8" t="s">
        <v>19</v>
      </c>
      <c r="B11" s="9">
        <v>323000</v>
      </c>
      <c r="C11" s="9">
        <v>320000</v>
      </c>
      <c r="D11" s="9">
        <v>370000</v>
      </c>
      <c r="E11" s="9">
        <v>345000</v>
      </c>
      <c r="F11" s="9">
        <v>400000</v>
      </c>
      <c r="G11" s="9">
        <v>354000</v>
      </c>
      <c r="H11" s="9">
        <v>270000</v>
      </c>
      <c r="I11" s="9">
        <v>4800000</v>
      </c>
      <c r="J11" s="8" t="s">
        <v>16</v>
      </c>
    </row>
    <row r="12" spans="1:10" x14ac:dyDescent="0.3">
      <c r="A12" s="6" t="s">
        <v>20</v>
      </c>
      <c r="B12" s="7">
        <v>279000</v>
      </c>
      <c r="C12" s="7">
        <v>280000</v>
      </c>
      <c r="D12" s="7">
        <v>250000</v>
      </c>
      <c r="E12" s="7">
        <v>222000</v>
      </c>
      <c r="F12" s="7">
        <v>200000</v>
      </c>
      <c r="G12" s="7">
        <v>205000</v>
      </c>
      <c r="H12" s="7">
        <v>200000</v>
      </c>
      <c r="I12" s="7">
        <v>8300000</v>
      </c>
      <c r="J12" s="6"/>
    </row>
    <row r="13" spans="1:10" x14ac:dyDescent="0.3">
      <c r="A13" s="8" t="s">
        <v>21</v>
      </c>
      <c r="B13" s="9">
        <v>310000</v>
      </c>
      <c r="C13" s="9">
        <v>290000</v>
      </c>
      <c r="D13" s="9">
        <v>410000</v>
      </c>
      <c r="E13" s="9">
        <v>404000</v>
      </c>
      <c r="F13" s="9">
        <v>380000</v>
      </c>
      <c r="G13" s="9">
        <v>308000</v>
      </c>
      <c r="H13" s="9">
        <v>290000</v>
      </c>
      <c r="I13" s="9">
        <v>9100000</v>
      </c>
      <c r="J13" s="8" t="s">
        <v>22</v>
      </c>
    </row>
    <row r="14" spans="1:10" x14ac:dyDescent="0.3">
      <c r="A14" s="10" t="s">
        <v>23</v>
      </c>
      <c r="B14" s="11">
        <v>2610000</v>
      </c>
      <c r="C14" s="11">
        <v>2500000</v>
      </c>
      <c r="D14" s="11">
        <v>2700000</v>
      </c>
      <c r="E14" s="11">
        <v>3270000</v>
      </c>
      <c r="F14" s="11">
        <v>3600000</v>
      </c>
      <c r="G14" s="11">
        <v>3710000</v>
      </c>
      <c r="H14" s="11">
        <v>3900000</v>
      </c>
      <c r="I14" s="11">
        <v>140000000</v>
      </c>
      <c r="J14" s="10" t="s">
        <v>24</v>
      </c>
    </row>
    <row r="16" spans="1:10" x14ac:dyDescent="0.3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5"/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  <c r="I17" s="5"/>
      <c r="J17" s="5"/>
    </row>
    <row r="18" spans="1:10" x14ac:dyDescent="0.3">
      <c r="A18" s="8" t="s">
        <v>26</v>
      </c>
      <c r="B18" s="13">
        <v>32.700000000000003</v>
      </c>
      <c r="C18" s="13">
        <v>30.7</v>
      </c>
      <c r="D18" s="13">
        <v>37</v>
      </c>
      <c r="E18" s="13">
        <v>48.3</v>
      </c>
      <c r="F18" s="13">
        <v>50</v>
      </c>
      <c r="G18" s="13">
        <v>62.3</v>
      </c>
      <c r="H18" s="13">
        <v>66.7</v>
      </c>
      <c r="I18" s="8"/>
      <c r="J18" s="8"/>
    </row>
  </sheetData>
  <mergeCells count="3">
    <mergeCell ref="A1:J1"/>
    <mergeCell ref="A2:J2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7" sqref="A17:I17"/>
    </sheetView>
  </sheetViews>
  <sheetFormatPr defaultColWidth="8.6640625" defaultRowHeight="14.4" x14ac:dyDescent="0.3"/>
  <cols>
    <col min="1" max="1" width="10" customWidth="1"/>
    <col min="2" max="9" width="14" customWidth="1"/>
  </cols>
  <sheetData>
    <row r="1" spans="1:9" ht="27.75" customHeight="1" x14ac:dyDescent="0.3">
      <c r="A1" s="4" t="s">
        <v>49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3">
      <c r="A2" s="3" t="s">
        <v>27</v>
      </c>
      <c r="B2" s="3"/>
      <c r="C2" s="3"/>
      <c r="D2" s="3"/>
      <c r="E2" s="3"/>
      <c r="F2" s="3"/>
      <c r="G2" s="3"/>
      <c r="H2" s="3"/>
      <c r="I2" s="3"/>
    </row>
    <row r="3" spans="1:9" ht="21.75" customHeight="1" x14ac:dyDescent="0.3">
      <c r="A3" s="5" t="s">
        <v>28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29</v>
      </c>
      <c r="I3" s="5" t="s">
        <v>30</v>
      </c>
    </row>
    <row r="4" spans="1:9" x14ac:dyDescent="0.3">
      <c r="A4" s="8" t="s">
        <v>31</v>
      </c>
      <c r="B4" s="14"/>
      <c r="C4" s="14">
        <v>13552.95</v>
      </c>
      <c r="D4" s="14">
        <v>17847.599999999999</v>
      </c>
      <c r="E4" s="14">
        <v>22326</v>
      </c>
      <c r="F4" s="14">
        <v>28240.48</v>
      </c>
      <c r="G4" s="14">
        <v>16091.36</v>
      </c>
      <c r="H4" s="14">
        <v>15378.64</v>
      </c>
      <c r="I4" s="14">
        <v>17844.05</v>
      </c>
    </row>
    <row r="5" spans="1:9" x14ac:dyDescent="0.3">
      <c r="A5" s="6" t="s">
        <v>32</v>
      </c>
      <c r="B5" s="15"/>
      <c r="C5" s="15">
        <v>12743.5</v>
      </c>
      <c r="D5" s="15">
        <v>18568.05</v>
      </c>
      <c r="E5" s="15">
        <v>24178</v>
      </c>
      <c r="F5" s="15">
        <v>26689.75</v>
      </c>
      <c r="G5" s="15">
        <v>16307.62</v>
      </c>
      <c r="H5" s="15">
        <v>15274.75</v>
      </c>
      <c r="I5" s="15">
        <v>17132.75</v>
      </c>
    </row>
    <row r="6" spans="1:9" x14ac:dyDescent="0.3">
      <c r="A6" s="8" t="s">
        <v>33</v>
      </c>
      <c r="B6" s="14"/>
      <c r="C6" s="14">
        <v>11873</v>
      </c>
      <c r="D6" s="14">
        <v>16459.87</v>
      </c>
      <c r="E6" s="16">
        <v>31860.65</v>
      </c>
      <c r="F6" s="14">
        <v>23307.17</v>
      </c>
      <c r="G6" s="14">
        <v>17432.75</v>
      </c>
      <c r="H6" s="14">
        <v>16054.52</v>
      </c>
      <c r="I6" s="14">
        <v>17093.18</v>
      </c>
    </row>
    <row r="7" spans="1:9" x14ac:dyDescent="0.3">
      <c r="A7" s="6" t="s">
        <v>34</v>
      </c>
      <c r="B7" s="15">
        <v>12819</v>
      </c>
      <c r="C7" s="15">
        <v>11753.2</v>
      </c>
      <c r="D7" s="15">
        <v>16480.7</v>
      </c>
      <c r="E7" s="16">
        <v>33298.42</v>
      </c>
      <c r="F7" s="15">
        <v>23756.67</v>
      </c>
      <c r="G7" s="15">
        <v>18173.810000000001</v>
      </c>
      <c r="H7" s="15">
        <v>15209.5</v>
      </c>
      <c r="I7" s="15">
        <v>18005.75</v>
      </c>
    </row>
    <row r="8" spans="1:9" x14ac:dyDescent="0.3">
      <c r="A8" s="8" t="s">
        <v>35</v>
      </c>
      <c r="B8" s="14">
        <v>11998.33</v>
      </c>
      <c r="C8" s="14">
        <v>12135.32</v>
      </c>
      <c r="D8" s="14">
        <v>17605.740000000002</v>
      </c>
      <c r="E8" s="14">
        <v>27950</v>
      </c>
      <c r="F8" s="14">
        <v>22229.5</v>
      </c>
      <c r="G8" s="14">
        <v>19520</v>
      </c>
      <c r="H8" s="14">
        <v>15324.75</v>
      </c>
      <c r="I8" s="14">
        <v>19128</v>
      </c>
    </row>
    <row r="9" spans="1:9" x14ac:dyDescent="0.3">
      <c r="A9" s="6" t="s">
        <v>36</v>
      </c>
      <c r="B9" s="15">
        <v>11970</v>
      </c>
      <c r="C9" s="15">
        <v>12703.27</v>
      </c>
      <c r="D9" s="15">
        <v>17943.23</v>
      </c>
      <c r="E9" s="15">
        <v>25837.5</v>
      </c>
      <c r="F9" s="15">
        <v>21192.95</v>
      </c>
      <c r="G9" s="15">
        <v>17508.25</v>
      </c>
      <c r="H9" s="15">
        <v>14989.29</v>
      </c>
      <c r="I9" s="15"/>
    </row>
    <row r="10" spans="1:9" x14ac:dyDescent="0.3">
      <c r="A10" s="8" t="s">
        <v>37</v>
      </c>
      <c r="B10" s="14">
        <v>13462.39</v>
      </c>
      <c r="C10" s="14">
        <v>13341.35</v>
      </c>
      <c r="D10" s="14">
        <v>18817.05</v>
      </c>
      <c r="E10" s="14">
        <v>21483.33</v>
      </c>
      <c r="F10" s="14">
        <v>20898.330000000002</v>
      </c>
      <c r="G10" s="14">
        <v>16396.3</v>
      </c>
      <c r="H10" s="14">
        <v>15023.26</v>
      </c>
      <c r="I10" s="14"/>
    </row>
    <row r="11" spans="1:9" x14ac:dyDescent="0.3">
      <c r="A11" s="6" t="s">
        <v>38</v>
      </c>
      <c r="B11" s="15">
        <v>15682.14</v>
      </c>
      <c r="C11" s="15">
        <v>14486.85</v>
      </c>
      <c r="D11" s="15">
        <v>19160.43</v>
      </c>
      <c r="E11" s="15">
        <v>21997.73</v>
      </c>
      <c r="F11" s="15">
        <v>20497.73</v>
      </c>
      <c r="G11" s="15">
        <v>16249.76</v>
      </c>
      <c r="H11" s="15">
        <v>14909</v>
      </c>
      <c r="I11" s="15"/>
    </row>
    <row r="12" spans="1:9" x14ac:dyDescent="0.3">
      <c r="A12" s="8" t="s">
        <v>39</v>
      </c>
      <c r="B12" s="14">
        <v>17673.099999999999</v>
      </c>
      <c r="C12" s="14">
        <v>14866.27</v>
      </c>
      <c r="D12" s="14">
        <v>19398.41</v>
      </c>
      <c r="E12" s="14">
        <v>22682.27</v>
      </c>
      <c r="F12" s="14">
        <v>19629.05</v>
      </c>
      <c r="G12" s="14">
        <v>16117.86</v>
      </c>
      <c r="H12" s="14">
        <v>15102.05</v>
      </c>
      <c r="I12" s="14"/>
    </row>
    <row r="13" spans="1:9" x14ac:dyDescent="0.3">
      <c r="A13" s="6" t="s">
        <v>40</v>
      </c>
      <c r="B13" s="15">
        <v>17113.48</v>
      </c>
      <c r="C13" s="15">
        <v>15219.36</v>
      </c>
      <c r="D13" s="15">
        <v>19420.240000000002</v>
      </c>
      <c r="E13" s="15">
        <v>21935.71</v>
      </c>
      <c r="F13" s="15">
        <v>18255.23</v>
      </c>
      <c r="G13" s="15">
        <v>16804.57</v>
      </c>
      <c r="H13" s="15">
        <v>15079.78</v>
      </c>
      <c r="I13" s="15"/>
    </row>
    <row r="14" spans="1:9" x14ac:dyDescent="0.3">
      <c r="A14" s="8" t="s">
        <v>41</v>
      </c>
      <c r="B14" s="14">
        <v>15199.52</v>
      </c>
      <c r="C14" s="14">
        <v>15796.05</v>
      </c>
      <c r="D14" s="14">
        <v>19964.32</v>
      </c>
      <c r="E14" s="14">
        <v>25257.05</v>
      </c>
      <c r="F14" s="14">
        <v>16979.77</v>
      </c>
      <c r="G14" s="14">
        <v>15740.24</v>
      </c>
      <c r="H14" s="14">
        <v>14689.25</v>
      </c>
      <c r="I14" s="14"/>
    </row>
    <row r="15" spans="1:9" x14ac:dyDescent="0.3">
      <c r="A15" s="6" t="s">
        <v>42</v>
      </c>
      <c r="B15" s="15">
        <v>13800.5</v>
      </c>
      <c r="C15" s="15">
        <v>16807.05</v>
      </c>
      <c r="D15" s="15">
        <v>20070.240000000002</v>
      </c>
      <c r="E15" s="15">
        <v>28853.75</v>
      </c>
      <c r="F15" s="15">
        <v>16388.68</v>
      </c>
      <c r="G15" s="15">
        <v>15470.5</v>
      </c>
      <c r="H15" s="15">
        <v>14878.81</v>
      </c>
      <c r="I15" s="15"/>
    </row>
    <row r="16" spans="1:9" x14ac:dyDescent="0.3">
      <c r="A16" s="12" t="s">
        <v>43</v>
      </c>
      <c r="B16" s="17">
        <f t="shared" ref="B16:I16" si="0">AVERAGE(B4:B15)</f>
        <v>14413.162222222221</v>
      </c>
      <c r="C16" s="17">
        <f t="shared" si="0"/>
        <v>13773.180833333332</v>
      </c>
      <c r="D16" s="17">
        <f t="shared" si="0"/>
        <v>18477.989999999998</v>
      </c>
      <c r="E16" s="17">
        <f t="shared" si="0"/>
        <v>25638.367500000004</v>
      </c>
      <c r="F16" s="17">
        <f t="shared" si="0"/>
        <v>21505.442499999997</v>
      </c>
      <c r="G16" s="17">
        <f t="shared" si="0"/>
        <v>16817.751666666667</v>
      </c>
      <c r="H16" s="17">
        <f t="shared" si="0"/>
        <v>15159.466666666667</v>
      </c>
      <c r="I16" s="17">
        <f t="shared" si="0"/>
        <v>17840.746000000003</v>
      </c>
    </row>
    <row r="17" spans="1:9" ht="36" customHeight="1" x14ac:dyDescent="0.3">
      <c r="A17" s="1" t="s">
        <v>44</v>
      </c>
      <c r="B17" s="1"/>
      <c r="C17" s="1"/>
      <c r="D17" s="1"/>
      <c r="E17" s="1"/>
      <c r="F17" s="1"/>
      <c r="G17" s="1"/>
      <c r="H17" s="1"/>
      <c r="I17" s="1"/>
    </row>
  </sheetData>
  <mergeCells count="3">
    <mergeCell ref="A1:I1"/>
    <mergeCell ref="A2:I2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zoomScaleNormal="10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A32" sqref="A32:H32"/>
    </sheetView>
  </sheetViews>
  <sheetFormatPr defaultColWidth="8.6640625" defaultRowHeight="14.4" x14ac:dyDescent="0.3"/>
  <cols>
    <col min="1" max="1" width="10" customWidth="1"/>
    <col min="2" max="9" width="13" customWidth="1"/>
  </cols>
  <sheetData>
    <row r="1" spans="1:11" ht="27.75" customHeight="1" x14ac:dyDescent="0.3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" customHeight="1" x14ac:dyDescent="0.3">
      <c r="A2" s="3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8" t="s">
        <v>28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29</v>
      </c>
      <c r="I3" s="18" t="s">
        <v>30</v>
      </c>
    </row>
    <row r="4" spans="1:11" x14ac:dyDescent="0.3">
      <c r="A4" s="8" t="s">
        <v>31</v>
      </c>
      <c r="B4" s="14"/>
      <c r="C4" s="14">
        <v>1771.73</v>
      </c>
      <c r="D4" s="14">
        <v>2003.8</v>
      </c>
      <c r="E4" s="14">
        <v>3003.08</v>
      </c>
      <c r="F4" s="14">
        <v>2489.02</v>
      </c>
      <c r="G4" s="14">
        <v>2194.1799999999998</v>
      </c>
      <c r="H4" s="14">
        <v>2574.9499999999998</v>
      </c>
      <c r="I4" s="14">
        <v>3148.4</v>
      </c>
    </row>
    <row r="5" spans="1:11" x14ac:dyDescent="0.3">
      <c r="A5" s="6" t="s">
        <v>32</v>
      </c>
      <c r="B5" s="15"/>
      <c r="C5" s="15">
        <v>1685.85</v>
      </c>
      <c r="D5" s="15">
        <v>2079.6</v>
      </c>
      <c r="E5" s="15">
        <v>3260.83</v>
      </c>
      <c r="F5" s="15">
        <v>2417.2800000000002</v>
      </c>
      <c r="G5" s="15">
        <v>2182.5500000000002</v>
      </c>
      <c r="H5" s="15">
        <v>2653.38</v>
      </c>
      <c r="I5" s="15">
        <v>3065.35</v>
      </c>
    </row>
    <row r="6" spans="1:11" x14ac:dyDescent="0.3">
      <c r="A6" s="8" t="s">
        <v>33</v>
      </c>
      <c r="B6" s="14"/>
      <c r="C6" s="14">
        <v>1611.14</v>
      </c>
      <c r="D6" s="14">
        <v>2191.59</v>
      </c>
      <c r="E6" s="16">
        <v>3537.85</v>
      </c>
      <c r="F6" s="14">
        <v>2290.11</v>
      </c>
      <c r="G6" s="14">
        <v>2222.35</v>
      </c>
      <c r="H6" s="14">
        <v>2657.21</v>
      </c>
      <c r="I6" s="14">
        <v>3370.16</v>
      </c>
    </row>
    <row r="7" spans="1:11" x14ac:dyDescent="0.3">
      <c r="A7" s="6" t="s">
        <v>34</v>
      </c>
      <c r="B7" s="15">
        <v>1848.98</v>
      </c>
      <c r="C7" s="15">
        <v>1457.15</v>
      </c>
      <c r="D7" s="15">
        <v>2323.75</v>
      </c>
      <c r="E7" s="15">
        <v>3256.58</v>
      </c>
      <c r="F7" s="15">
        <v>2341</v>
      </c>
      <c r="G7" s="15">
        <v>2497.88</v>
      </c>
      <c r="H7" s="15">
        <v>2381.25</v>
      </c>
      <c r="I7" s="15">
        <v>3600.63</v>
      </c>
    </row>
    <row r="8" spans="1:11" x14ac:dyDescent="0.3">
      <c r="A8" s="8" t="s">
        <v>35</v>
      </c>
      <c r="B8" s="14">
        <v>1775.33</v>
      </c>
      <c r="C8" s="14">
        <v>1459.79</v>
      </c>
      <c r="D8" s="14">
        <v>2433.84</v>
      </c>
      <c r="E8" s="14">
        <v>2826.36</v>
      </c>
      <c r="F8" s="14">
        <v>2267.6</v>
      </c>
      <c r="G8" s="14">
        <v>2565.19</v>
      </c>
      <c r="H8" s="14">
        <v>2442.4</v>
      </c>
      <c r="I8" s="14">
        <v>3586.6</v>
      </c>
    </row>
    <row r="9" spans="1:11" x14ac:dyDescent="0.3">
      <c r="A9" s="6" t="s">
        <v>36</v>
      </c>
      <c r="B9" s="15">
        <v>1754.08</v>
      </c>
      <c r="C9" s="15">
        <v>1564.02</v>
      </c>
      <c r="D9" s="15">
        <v>2439.09</v>
      </c>
      <c r="E9" s="15">
        <v>2562.9299999999998</v>
      </c>
      <c r="F9" s="15">
        <v>2181.0700000000002</v>
      </c>
      <c r="G9" s="15">
        <v>2495.0500000000002</v>
      </c>
      <c r="H9" s="15">
        <v>2516.48</v>
      </c>
      <c r="I9" s="15"/>
    </row>
    <row r="10" spans="1:11" x14ac:dyDescent="0.3">
      <c r="A10" s="8" t="s">
        <v>37</v>
      </c>
      <c r="B10" s="14">
        <v>1792.83</v>
      </c>
      <c r="C10" s="14">
        <v>1639.35</v>
      </c>
      <c r="D10" s="14">
        <v>2491.9499999999998</v>
      </c>
      <c r="E10" s="14">
        <v>2401.5700000000002</v>
      </c>
      <c r="F10" s="14">
        <v>2152.38</v>
      </c>
      <c r="G10" s="14">
        <v>2362.3000000000002</v>
      </c>
      <c r="H10" s="14">
        <v>2604.15</v>
      </c>
      <c r="I10" s="14"/>
    </row>
    <row r="11" spans="1:11" x14ac:dyDescent="0.3">
      <c r="A11" s="6" t="s">
        <v>38</v>
      </c>
      <c r="B11" s="15">
        <v>1740.93</v>
      </c>
      <c r="C11" s="15">
        <v>1733.9</v>
      </c>
      <c r="D11" s="15">
        <v>2610.64</v>
      </c>
      <c r="E11" s="15">
        <v>2431.3200000000002</v>
      </c>
      <c r="F11" s="15">
        <v>2134.16</v>
      </c>
      <c r="G11" s="15">
        <v>2334.33</v>
      </c>
      <c r="H11" s="15">
        <v>2594.0300000000002</v>
      </c>
      <c r="I11" s="15"/>
    </row>
    <row r="12" spans="1:11" x14ac:dyDescent="0.3">
      <c r="A12" s="8" t="s">
        <v>39</v>
      </c>
      <c r="B12" s="14">
        <v>1749.6</v>
      </c>
      <c r="C12" s="14">
        <v>1745.34</v>
      </c>
      <c r="D12" s="14">
        <v>2839.68</v>
      </c>
      <c r="E12" s="14">
        <v>2229.91</v>
      </c>
      <c r="F12" s="14">
        <v>2177.5</v>
      </c>
      <c r="G12" s="14">
        <v>2451.67</v>
      </c>
      <c r="H12" s="14">
        <v>2653.25</v>
      </c>
      <c r="I12" s="14"/>
    </row>
    <row r="13" spans="1:11" x14ac:dyDescent="0.3">
      <c r="A13" s="6" t="s">
        <v>40</v>
      </c>
      <c r="B13" s="15">
        <v>1718.83</v>
      </c>
      <c r="C13" s="15">
        <v>1802.82</v>
      </c>
      <c r="D13" s="15">
        <v>2955.17</v>
      </c>
      <c r="E13" s="15">
        <v>2243.29</v>
      </c>
      <c r="F13" s="15">
        <v>2192.4499999999998</v>
      </c>
      <c r="G13" s="15">
        <v>2598.39</v>
      </c>
      <c r="H13" s="15">
        <v>2786.3</v>
      </c>
      <c r="I13" s="15"/>
    </row>
    <row r="14" spans="1:11" x14ac:dyDescent="0.3">
      <c r="A14" s="8" t="s">
        <v>41</v>
      </c>
      <c r="B14" s="14">
        <v>1772.31</v>
      </c>
      <c r="C14" s="14">
        <v>1932.12</v>
      </c>
      <c r="D14" s="14">
        <v>2641.41</v>
      </c>
      <c r="E14" s="14">
        <v>2335.27</v>
      </c>
      <c r="F14" s="14">
        <v>2202.23</v>
      </c>
      <c r="G14" s="14">
        <v>2583.19</v>
      </c>
      <c r="H14" s="14">
        <v>2822.93</v>
      </c>
      <c r="I14" s="14"/>
    </row>
    <row r="15" spans="1:11" x14ac:dyDescent="0.3">
      <c r="A15" s="6" t="s">
        <v>42</v>
      </c>
      <c r="B15" s="15">
        <v>1770.4</v>
      </c>
      <c r="C15" s="15">
        <v>2017.9</v>
      </c>
      <c r="D15" s="15">
        <v>2695.36</v>
      </c>
      <c r="E15" s="15">
        <v>2394.88</v>
      </c>
      <c r="F15" s="15">
        <v>2174.29</v>
      </c>
      <c r="G15" s="15">
        <v>2538.4299999999998</v>
      </c>
      <c r="H15" s="15">
        <v>2875.45</v>
      </c>
      <c r="I15" s="15"/>
    </row>
    <row r="16" spans="1:11" x14ac:dyDescent="0.3">
      <c r="A16" s="18" t="s">
        <v>43</v>
      </c>
      <c r="B16" s="17">
        <f t="shared" ref="B16:I16" si="0">AVERAGE(B4:B15)</f>
        <v>1769.2544444444443</v>
      </c>
      <c r="C16" s="17">
        <f t="shared" si="0"/>
        <v>1701.7591666666667</v>
      </c>
      <c r="D16" s="17">
        <f t="shared" si="0"/>
        <v>2475.4900000000002</v>
      </c>
      <c r="E16" s="17">
        <f t="shared" si="0"/>
        <v>2706.9891666666667</v>
      </c>
      <c r="F16" s="17">
        <f t="shared" si="0"/>
        <v>2251.5908333333332</v>
      </c>
      <c r="G16" s="17">
        <f t="shared" si="0"/>
        <v>2418.7925</v>
      </c>
      <c r="H16" s="17">
        <f t="shared" si="0"/>
        <v>2630.1483333333331</v>
      </c>
      <c r="I16" s="17">
        <f t="shared" si="0"/>
        <v>3354.2280000000001</v>
      </c>
    </row>
    <row r="18" spans="1:8" x14ac:dyDescent="0.3">
      <c r="A18" s="19" t="s">
        <v>45</v>
      </c>
      <c r="B18" s="19" t="s">
        <v>2</v>
      </c>
      <c r="C18" s="19" t="s">
        <v>3</v>
      </c>
      <c r="D18" s="19" t="s">
        <v>4</v>
      </c>
      <c r="E18" s="19" t="s">
        <v>5</v>
      </c>
      <c r="F18" s="19" t="s">
        <v>6</v>
      </c>
      <c r="G18" s="19" t="s">
        <v>7</v>
      </c>
      <c r="H18" s="19" t="s">
        <v>29</v>
      </c>
    </row>
    <row r="19" spans="1:8" x14ac:dyDescent="0.3">
      <c r="A19" s="8" t="s">
        <v>31</v>
      </c>
      <c r="B19" s="14"/>
      <c r="C19" s="14">
        <v>309.8</v>
      </c>
      <c r="D19" s="14">
        <v>329.65</v>
      </c>
      <c r="E19" s="14">
        <v>717.44</v>
      </c>
      <c r="F19" s="14">
        <v>602.65</v>
      </c>
      <c r="G19" s="14">
        <v>446.44</v>
      </c>
      <c r="H19" s="14">
        <v>593.98</v>
      </c>
    </row>
    <row r="20" spans="1:8" x14ac:dyDescent="0.3">
      <c r="A20" s="6" t="s">
        <v>32</v>
      </c>
      <c r="B20" s="15"/>
      <c r="C20" s="15">
        <v>300.43</v>
      </c>
      <c r="D20" s="15">
        <v>342.66</v>
      </c>
      <c r="E20" s="15">
        <v>798.29</v>
      </c>
      <c r="F20" s="15">
        <v>646.28</v>
      </c>
      <c r="G20" s="15">
        <v>417.22</v>
      </c>
      <c r="H20" s="15">
        <v>714.48</v>
      </c>
    </row>
    <row r="21" spans="1:8" x14ac:dyDescent="0.3">
      <c r="A21" s="8" t="s">
        <v>33</v>
      </c>
      <c r="B21" s="14"/>
      <c r="C21" s="14">
        <v>290.62</v>
      </c>
      <c r="D21" s="14">
        <v>415.64</v>
      </c>
      <c r="E21" s="14">
        <v>865.74</v>
      </c>
      <c r="F21" s="14">
        <v>601.74</v>
      </c>
      <c r="G21" s="14">
        <v>421.63</v>
      </c>
      <c r="H21" s="14">
        <v>827.23</v>
      </c>
    </row>
    <row r="22" spans="1:8" x14ac:dyDescent="0.3">
      <c r="A22" s="6" t="s">
        <v>34</v>
      </c>
      <c r="B22" s="15">
        <v>417.78</v>
      </c>
      <c r="C22" s="15">
        <v>215.76</v>
      </c>
      <c r="D22" s="15">
        <v>517.07000000000005</v>
      </c>
      <c r="E22" s="20">
        <v>877.9</v>
      </c>
      <c r="F22" s="15">
        <v>556.04999999999995</v>
      </c>
      <c r="G22" s="15">
        <v>428.33</v>
      </c>
      <c r="H22" s="15">
        <v>868</v>
      </c>
    </row>
    <row r="23" spans="1:8" x14ac:dyDescent="0.3">
      <c r="A23" s="8" t="s">
        <v>35</v>
      </c>
      <c r="B23" s="14">
        <v>420.05</v>
      </c>
      <c r="C23" s="14">
        <v>178.83</v>
      </c>
      <c r="D23" s="14">
        <v>584.33000000000004</v>
      </c>
      <c r="E23" s="14">
        <v>819.38</v>
      </c>
      <c r="F23" s="14">
        <v>549.61</v>
      </c>
      <c r="G23" s="14">
        <v>460.77</v>
      </c>
      <c r="H23" s="14">
        <v>838</v>
      </c>
    </row>
    <row r="24" spans="1:8" x14ac:dyDescent="0.3">
      <c r="A24" s="6" t="s">
        <v>36</v>
      </c>
      <c r="B24" s="15">
        <v>413.44</v>
      </c>
      <c r="C24" s="15">
        <v>189</v>
      </c>
      <c r="D24" s="15">
        <v>607.42999999999995</v>
      </c>
      <c r="E24" s="15">
        <v>717.71</v>
      </c>
      <c r="F24" s="15">
        <v>525.79999999999995</v>
      </c>
      <c r="G24" s="15">
        <v>451.34</v>
      </c>
      <c r="H24" s="15">
        <v>1256.4100000000001</v>
      </c>
    </row>
    <row r="25" spans="1:8" x14ac:dyDescent="0.3">
      <c r="A25" s="8" t="s">
        <v>37</v>
      </c>
      <c r="B25" s="14">
        <v>394.25</v>
      </c>
      <c r="C25" s="14">
        <v>220.5</v>
      </c>
      <c r="D25" s="14">
        <v>675.39</v>
      </c>
      <c r="E25" s="14">
        <v>632.66999999999996</v>
      </c>
      <c r="F25" s="14">
        <v>525.79999999999995</v>
      </c>
      <c r="G25" s="14">
        <v>421.63</v>
      </c>
      <c r="H25" s="14">
        <v>1557.56</v>
      </c>
    </row>
    <row r="26" spans="1:8" x14ac:dyDescent="0.3">
      <c r="A26" s="6" t="s">
        <v>38</v>
      </c>
      <c r="B26" s="15">
        <v>387.42</v>
      </c>
      <c r="C26" s="15">
        <v>318.62</v>
      </c>
      <c r="D26" s="15">
        <v>760.06</v>
      </c>
      <c r="E26" s="15">
        <v>581.57000000000005</v>
      </c>
      <c r="F26" s="15">
        <v>473.99</v>
      </c>
      <c r="G26" s="15">
        <v>421.63</v>
      </c>
      <c r="H26" s="15">
        <v>1339.31</v>
      </c>
    </row>
    <row r="27" spans="1:8" x14ac:dyDescent="0.3">
      <c r="A27" s="8" t="s">
        <v>39</v>
      </c>
      <c r="B27" s="14">
        <v>392.49</v>
      </c>
      <c r="C27" s="14">
        <v>312.01</v>
      </c>
      <c r="D27" s="14">
        <v>764.95</v>
      </c>
      <c r="E27" s="14">
        <v>532.77</v>
      </c>
      <c r="F27" s="14">
        <v>473.99</v>
      </c>
      <c r="G27" s="14">
        <v>435.41</v>
      </c>
      <c r="H27" s="14">
        <v>1616.93</v>
      </c>
    </row>
    <row r="28" spans="1:8" x14ac:dyDescent="0.3">
      <c r="A28" s="6" t="s">
        <v>40</v>
      </c>
      <c r="B28" s="15">
        <v>390.29</v>
      </c>
      <c r="C28" s="15">
        <v>266.81</v>
      </c>
      <c r="D28" s="15">
        <v>763.95</v>
      </c>
      <c r="E28" s="15">
        <v>452.73</v>
      </c>
      <c r="F28" s="15">
        <v>455.91</v>
      </c>
      <c r="G28" s="15">
        <v>435.41</v>
      </c>
      <c r="H28" s="20">
        <v>1793.99</v>
      </c>
    </row>
    <row r="29" spans="1:8" x14ac:dyDescent="0.3">
      <c r="A29" s="8" t="s">
        <v>41</v>
      </c>
      <c r="B29" s="14">
        <v>343.54</v>
      </c>
      <c r="C29" s="14">
        <v>286.64999999999998</v>
      </c>
      <c r="D29" s="14">
        <v>608.92999999999995</v>
      </c>
      <c r="E29" s="14">
        <v>435.71</v>
      </c>
      <c r="F29" s="14">
        <v>412.68</v>
      </c>
      <c r="G29" s="14">
        <v>468.98</v>
      </c>
      <c r="H29" s="14"/>
    </row>
    <row r="30" spans="1:8" x14ac:dyDescent="0.3">
      <c r="A30" s="6" t="s">
        <v>42</v>
      </c>
      <c r="B30" s="15">
        <v>319.13</v>
      </c>
      <c r="C30" s="15">
        <v>312.67</v>
      </c>
      <c r="D30" s="15">
        <v>604.91</v>
      </c>
      <c r="E30" s="15">
        <v>447.65</v>
      </c>
      <c r="F30" s="15">
        <v>445.83</v>
      </c>
      <c r="G30" s="15">
        <v>518.98</v>
      </c>
      <c r="H30" s="15"/>
    </row>
    <row r="31" spans="1:8" x14ac:dyDescent="0.3">
      <c r="A31" s="19" t="s">
        <v>43</v>
      </c>
      <c r="B31" s="21">
        <f t="shared" ref="B31:H31" si="1">AVERAGE(B19:B30)</f>
        <v>386.48777777777781</v>
      </c>
      <c r="C31" s="21">
        <f t="shared" si="1"/>
        <v>266.80833333333334</v>
      </c>
      <c r="D31" s="21">
        <f t="shared" si="1"/>
        <v>581.24749999999995</v>
      </c>
      <c r="E31" s="21">
        <f t="shared" si="1"/>
        <v>656.63</v>
      </c>
      <c r="F31" s="21">
        <f t="shared" si="1"/>
        <v>522.52750000000003</v>
      </c>
      <c r="G31" s="21">
        <f t="shared" si="1"/>
        <v>443.98083333333335</v>
      </c>
      <c r="H31" s="21">
        <f t="shared" si="1"/>
        <v>1140.5889999999999</v>
      </c>
    </row>
    <row r="32" spans="1:8" ht="36" customHeight="1" x14ac:dyDescent="0.3">
      <c r="A32" s="1" t="s">
        <v>46</v>
      </c>
      <c r="B32" s="1"/>
      <c r="C32" s="1"/>
      <c r="D32" s="1"/>
      <c r="E32" s="1"/>
      <c r="F32" s="1"/>
      <c r="G32" s="1"/>
      <c r="H32" s="1"/>
    </row>
  </sheetData>
  <mergeCells count="3">
    <mergeCell ref="A1:K1"/>
    <mergeCell ref="A2:K2"/>
    <mergeCell ref="A32:H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 Nickel Production</vt:lpstr>
      <vt:lpstr>LME Nickel Settlement</vt:lpstr>
      <vt:lpstr>LME Aluminium &amp; MW 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Kshitanjay Sondhi</cp:lastModifiedBy>
  <cp:revision>0</cp:revision>
  <dcterms:created xsi:type="dcterms:W3CDTF">2026-05-09T15:23:04Z</dcterms:created>
  <dcterms:modified xsi:type="dcterms:W3CDTF">2026-05-09T15:27:44Z</dcterms:modified>
  <dc:language>en-US</dc:language>
</cp:coreProperties>
</file>